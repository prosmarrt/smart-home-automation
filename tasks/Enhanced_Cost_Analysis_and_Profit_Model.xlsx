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&amp; Profit Integration" sheetId="1" state="visible" r:id="rId1"/>
    <sheet xmlns:r="http://schemas.openxmlformats.org/officeDocument/2006/relationships" name="Manual Expense Entry" sheetId="2" state="visible" r:id="rId2"/>
    <sheet xmlns:r="http://schemas.openxmlformats.org/officeDocument/2006/relationships" name="Category Setup &amp; Legend" sheetId="3" state="visible" r:id="rId3"/>
    <sheet xmlns:r="http://schemas.openxmlformats.org/officeDocument/2006/relationships" name="Visuals &amp; Waterfall" sheetId="4" state="visible" r:id="rId4"/>
    <sheet xmlns:r="http://schemas.openxmlformats.org/officeDocument/2006/relationships" name="Audit &amp; Document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13">
    <font>
      <name val="Calibri"/>
      <family val="2"/>
      <color theme="1"/>
      <sz val="11"/>
      <scheme val="minor"/>
    </font>
    <font>
      <name val="Segoe UI"/>
      <b val="1"/>
      <color rgb="001E3A8A"/>
      <sz val="16"/>
    </font>
    <font>
      <name val="Segoe UI"/>
      <i val="1"/>
      <color rgb="004B5563"/>
      <sz val="11"/>
    </font>
    <font>
      <name val="Segoe UI"/>
      <b val="1"/>
      <color rgb="00FFFFFF"/>
      <sz val="12"/>
    </font>
    <font>
      <name val="Segoe UI"/>
      <b val="1"/>
      <color rgb="00FFFFFF"/>
      <sz val="10"/>
    </font>
    <font>
      <name val="Segoe UI"/>
      <color rgb="001F2937"/>
      <sz val="10"/>
    </font>
    <font>
      <name val="Segoe UI"/>
      <i val="1"/>
      <color rgb="004B5563"/>
      <sz val="9"/>
    </font>
    <font>
      <name val="Segoe UI"/>
      <b val="1"/>
      <color rgb="001F2937"/>
      <sz val="10"/>
    </font>
    <font>
      <name val="Segoe UI"/>
      <b val="1"/>
      <color rgb="001E3A8A"/>
      <sz val="11"/>
    </font>
    <font>
      <name val="Segoe UI"/>
      <b val="1"/>
      <color rgb="00EF4444"/>
      <sz val="12"/>
    </font>
    <font>
      <name val="Segoe UI"/>
      <b val="1"/>
      <color rgb="001E3A8A"/>
      <sz val="12"/>
    </font>
    <font>
      <name val="Consolas"/>
      <color rgb="001E3A8A"/>
      <sz val="9"/>
    </font>
    <font>
      <name val="Segoe UI"/>
      <b val="1"/>
      <color rgb="00059669"/>
      <sz val="10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3B82F6"/>
        <bgColor rgb="003B82F6"/>
      </patternFill>
    </fill>
    <fill>
      <patternFill patternType="solid">
        <fgColor rgb="00E2E8F0"/>
        <bgColor rgb="00E2E8F0"/>
      </patternFill>
    </fill>
    <fill>
      <patternFill patternType="solid">
        <fgColor rgb="00D1FAE5"/>
        <bgColor rgb="00D1FAE5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double">
        <color rgb="00111827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5" fillId="0" borderId="1" pivotButton="0" quotePrefix="0" xfId="0"/>
    <xf numFmtId="164" fontId="5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7" fillId="0" borderId="1" pivotButton="0" quotePrefix="0" xfId="0"/>
    <xf numFmtId="164" fontId="7" fillId="4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0" fontId="7" fillId="5" borderId="1" pivotButton="0" quotePrefix="0" xfId="0"/>
    <xf numFmtId="164" fontId="8" fillId="5" borderId="2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/>
    </xf>
    <xf numFmtId="164" fontId="9" fillId="0" borderId="0" pivotButton="0" quotePrefix="0" xfId="0"/>
    <xf numFmtId="0" fontId="7" fillId="0" borderId="0" pivotButton="0" quotePrefix="0" xfId="0"/>
    <xf numFmtId="164" fontId="1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164" fontId="7" fillId="0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right" vertical="center"/>
    </xf>
    <xf numFmtId="0" fontId="7" fillId="4" borderId="2" pivotButton="0" quotePrefix="0" xfId="0"/>
    <xf numFmtId="0" fontId="0" fillId="4" borderId="2" applyAlignment="1" pivotButton="0" quotePrefix="0" xfId="0">
      <alignment horizontal="center" vertical="center"/>
    </xf>
    <xf numFmtId="164" fontId="7" fillId="4" borderId="2" applyAlignment="1" pivotButton="0" quotePrefix="0" xfId="0">
      <alignment horizontal="right" vertical="center"/>
    </xf>
    <xf numFmtId="0" fontId="6" fillId="4" borderId="2" pivotButton="0" quotePrefix="0" xfId="0"/>
    <xf numFmtId="0" fontId="2" fillId="0" borderId="0" pivotButton="0" quotePrefix="0" xfId="0"/>
    <xf numFmtId="0" fontId="4" fillId="2" borderId="0" pivotButton="0" quotePrefix="0" xfId="0"/>
    <xf numFmtId="0" fontId="4" fillId="3" borderId="0" pivotButton="0" quotePrefix="0" xfId="0"/>
    <xf numFmtId="164" fontId="5" fillId="0" borderId="1" pivotButton="0" quotePrefix="0" xfId="0"/>
    <xf numFmtId="164" fontId="7" fillId="0" borderId="1" pivotButton="0" quotePrefix="0" xfId="0"/>
    <xf numFmtId="0" fontId="3" fillId="2" borderId="0" pivotButton="0" quotePrefix="0" xfId="0"/>
    <xf numFmtId="0" fontId="11" fillId="0" borderId="1" pivotButton="0" quotePrefix="0" xfId="0"/>
    <xf numFmtId="0" fontId="1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Operating Expenses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'Visuals &amp; Waterfall'!E5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'Visuals &amp; Waterfall'!$D$6:$D$16</f>
            </numRef>
          </cat>
          <val>
            <numRef>
              <f>'Visuals &amp; Waterfall'!$E$6:$E$16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Expense 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Expense Allocation Share</a:t>
            </a:r>
          </a:p>
        </rich>
      </tx>
    </title>
    <plotArea>
      <pieChart>
        <varyColors val="1"/>
        <ser>
          <idx val="0"/>
          <order val="0"/>
          <tx>
            <strRef>
              <f>'Visuals &amp; Waterfall'!E5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'Visuals &amp; Waterfall'!$D$6:$D$16</f>
            </numRef>
          </cat>
          <val>
            <numRef>
              <f>'Visuals &amp; Waterfall'!$E$6:$E$16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6</col>
      <colOff>0</colOff>
      <row>4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22</row>
      <rowOff>0</rowOff>
    </from>
    <ext cx="540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16" customWidth="1" min="3" max="3"/>
    <col width="16" customWidth="1" min="4" max="4"/>
    <col width="44" customWidth="1" min="5" max="5"/>
    <col width="38" customWidth="1" min="6" max="6"/>
  </cols>
  <sheetData>
    <row r="1">
      <c r="A1" s="1" t="inlineStr">
        <is>
          <t>COMPREHENSIVE COST ANALYSIS &amp; PROFIT INTEGRATION MODEL</t>
        </is>
      </c>
    </row>
    <row r="2">
      <c r="A2" s="2" t="inlineStr">
        <is>
          <t>Automated Gross-to-Net Profit Bridge with Real-Time Manual Expense Aggregation</t>
        </is>
      </c>
    </row>
    <row r="9">
      <c r="A9" s="3" t="inlineStr">
        <is>
          <t>1. PROFIT &amp; LOSS BREAKDOWN (STATEMENT VIEW)</t>
        </is>
      </c>
    </row>
    <row r="11">
      <c r="A11" s="4" t="inlineStr">
        <is>
          <t>Line Item</t>
        </is>
      </c>
      <c r="B11" s="5" t="inlineStr">
        <is>
          <t>Current Period ($)</t>
        </is>
      </c>
      <c r="C11" s="5" t="inlineStr">
        <is>
          <t>% of Revenue</t>
        </is>
      </c>
      <c r="D11" s="5" t="inlineStr">
        <is>
          <t>Benchmark %</t>
        </is>
      </c>
      <c r="E11" s="5" t="inlineStr">
        <is>
          <t>Variance / Notes</t>
        </is>
      </c>
      <c r="F11" s="5" t="inlineStr">
        <is>
          <t>Calculation Formula / Reference</t>
        </is>
      </c>
    </row>
    <row r="12">
      <c r="A12" s="6" t="inlineStr">
        <is>
          <t>Gross Sales / Invoiced Revenue</t>
        </is>
      </c>
      <c r="B12" s="7" t="n">
        <v>1250000</v>
      </c>
      <c r="C12" s="8">
        <f>B12/B$12</f>
        <v/>
      </c>
      <c r="D12" s="9" t="inlineStr">
        <is>
          <t>100.0%</t>
        </is>
      </c>
      <c r="E12" s="10" t="inlineStr">
        <is>
          <t>Total billed clients across all accounts</t>
        </is>
      </c>
      <c r="F12" s="10" t="inlineStr">
        <is>
          <t>Base Topline Revenue</t>
        </is>
      </c>
    </row>
    <row r="13">
      <c r="A13" s="6" t="inlineStr">
        <is>
          <t>Direct Cost of Goods Sold (COGS)</t>
        </is>
      </c>
      <c r="B13" s="7" t="n">
        <v>475000</v>
      </c>
      <c r="C13" s="8">
        <f>B13/B$12</f>
        <v/>
      </c>
      <c r="D13" s="9" t="inlineStr">
        <is>
          <t>38.0%</t>
        </is>
      </c>
      <c r="E13" s="10" t="inlineStr">
        <is>
          <t>Direct hardware, parts, supplier costs</t>
        </is>
      </c>
      <c r="F13" s="10" t="inlineStr">
        <is>
          <t>Direct Cost</t>
        </is>
      </c>
    </row>
    <row r="14">
      <c r="A14" s="6" t="inlineStr">
        <is>
          <t>Direct Labor &amp; Field Subcontractors</t>
        </is>
      </c>
      <c r="B14" s="7" t="n">
        <v>185000</v>
      </c>
      <c r="C14" s="8">
        <f>B14/B$12</f>
        <v/>
      </c>
      <c r="D14" s="9" t="inlineStr">
        <is>
          <t>14.8%</t>
        </is>
      </c>
      <c r="E14" s="10" t="inlineStr">
        <is>
          <t>Installation &amp; field commissioning wages</t>
        </is>
      </c>
      <c r="F14" s="10" t="inlineStr">
        <is>
          <t>Direct Cost</t>
        </is>
      </c>
    </row>
    <row r="15">
      <c r="A15" s="11" t="inlineStr">
        <is>
          <t>GROSS PROFIT</t>
        </is>
      </c>
      <c r="B15" s="12">
        <f>B12-B13-B14</f>
        <v/>
      </c>
      <c r="C15" s="8">
        <f>B15/B$12</f>
        <v/>
      </c>
      <c r="D15" s="9" t="inlineStr">
        <is>
          <t>47.2%</t>
        </is>
      </c>
      <c r="E15" s="10" t="inlineStr">
        <is>
          <t>Core gross margin generated by projects</t>
        </is>
      </c>
      <c r="F15" s="10">
        <f> Revenue - COGS - Direct Labor</f>
        <v/>
      </c>
    </row>
    <row r="16">
      <c r="A16" s="6" t="inlineStr">
        <is>
          <t>Gross Margin %</t>
        </is>
      </c>
      <c r="B16" s="13">
        <f>B15/B12</f>
        <v/>
      </c>
      <c r="C16" s="8" t="inlineStr">
        <is>
          <t>-</t>
        </is>
      </c>
      <c r="D16" s="9" t="inlineStr">
        <is>
          <t>45.0% - 50.0%</t>
        </is>
      </c>
      <c r="E16" s="10" t="inlineStr">
        <is>
          <t>Target gross margin threshold is &gt;= 45%</t>
        </is>
      </c>
      <c r="F16" s="10">
        <f> Gross Profit / Revenue</f>
        <v/>
      </c>
    </row>
    <row r="17">
      <c r="A17" s="6" t="inlineStr"/>
      <c r="B17" s="6" t="inlineStr"/>
      <c r="C17" s="8" t="inlineStr"/>
      <c r="D17" s="9" t="inlineStr"/>
      <c r="E17" s="10" t="inlineStr"/>
      <c r="F17" s="10" t="inlineStr"/>
    </row>
    <row r="18">
      <c r="A18" s="11" t="inlineStr">
        <is>
          <t>MANUALLY LOGGED OPERATING EXPENSES</t>
        </is>
      </c>
      <c r="B18" s="12">
        <f>'Manual Expense Entry'!F4</f>
        <v/>
      </c>
      <c r="C18" s="8">
        <f>B18/B$12</f>
        <v/>
      </c>
      <c r="D18" s="9" t="inlineStr">
        <is>
          <t>22.5%</t>
        </is>
      </c>
      <c r="E18" s="10" t="inlineStr">
        <is>
          <t>Live feed from manual entry ledger</t>
        </is>
      </c>
      <c r="F18" s="10">
        <f>SUM('Manual Expense Entry'!D8:D100)</f>
        <v/>
      </c>
    </row>
    <row r="19">
      <c r="A19" s="6" t="inlineStr">
        <is>
          <t xml:space="preserve">  - Operating Costs</t>
        </is>
      </c>
      <c r="B19" s="7">
        <f>SUMIFS('Manual Expense Entry'!D$8:D$100, 'Manual Expense Entry'!C$8:C$100, "Operating Costs")</f>
        <v/>
      </c>
      <c r="C19" s="8">
        <f>B19/B$12</f>
        <v/>
      </c>
      <c r="D19" s="9" t="inlineStr">
        <is>
          <t>3.0%</t>
        </is>
      </c>
      <c r="E19" s="10" t="inlineStr">
        <is>
          <t>Facility &amp; daily operational overhead</t>
        </is>
      </c>
      <c r="F19" s="10">
        <f>SUMIFS(ledger, category, "Operating Costs")</f>
        <v/>
      </c>
    </row>
    <row r="20">
      <c r="A20" s="6" t="inlineStr">
        <is>
          <t xml:space="preserve">  - Salaries &amp; Wages (Overhead)</t>
        </is>
      </c>
      <c r="B20" s="7">
        <f>SUMIFS('Manual Expense Entry'!D$8:D$100, 'Manual Expense Entry'!C$8:C$100, "Salaries &amp; Wages")</f>
        <v/>
      </c>
      <c r="C20" s="8">
        <f>B20/B$12</f>
        <v/>
      </c>
      <c r="D20" s="9" t="inlineStr">
        <is>
          <t>8.0%</t>
        </is>
      </c>
      <c r="E20" s="10" t="inlineStr">
        <is>
          <t>Admin, sales &amp; executive payroll</t>
        </is>
      </c>
      <c r="F20" s="10">
        <f>SUMIFS(ledger, category, "Salaries &amp; Wages")</f>
        <v/>
      </c>
    </row>
    <row r="21">
      <c r="A21" s="6" t="inlineStr">
        <is>
          <t xml:space="preserve">  - Utilities &amp; Facilities</t>
        </is>
      </c>
      <c r="B21" s="7">
        <f>SUMIFS('Manual Expense Entry'!D$8:D$100, 'Manual Expense Entry'!C$8:C$100, "Utilities &amp; Facilities")</f>
        <v/>
      </c>
      <c r="C21" s="8">
        <f>B21/B$12</f>
        <v/>
      </c>
      <c r="D21" s="9" t="inlineStr">
        <is>
          <t>1.5%</t>
        </is>
      </c>
      <c r="E21" s="10" t="inlineStr">
        <is>
          <t>Electricity, water, office rent, internet</t>
        </is>
      </c>
      <c r="F21" s="10">
        <f>SUMIFS(ledger, category, "Utilities &amp; Facilities")</f>
        <v/>
      </c>
    </row>
    <row r="22">
      <c r="A22" s="6" t="inlineStr">
        <is>
          <t xml:space="preserve">  - Marketing &amp; Advertising</t>
        </is>
      </c>
      <c r="B22" s="7">
        <f>SUMIFS('Manual Expense Entry'!D$8:D$100, 'Manual Expense Entry'!C$8:C$100, "Marketing &amp; Advertising")</f>
        <v/>
      </c>
      <c r="C22" s="8">
        <f>B22/B$12</f>
        <v/>
      </c>
      <c r="D22" s="9" t="inlineStr">
        <is>
          <t>2.5%</t>
        </is>
      </c>
      <c r="E22" s="10" t="inlineStr">
        <is>
          <t>Digital ads, exhibitions, branding campaigns</t>
        </is>
      </c>
      <c r="F22" s="10">
        <f>SUMIFS(ledger, category, "Marketing &amp; Advertising")</f>
        <v/>
      </c>
    </row>
    <row r="23">
      <c r="A23" s="6" t="inlineStr">
        <is>
          <t xml:space="preserve">  - Equipment &amp; Maintenance</t>
        </is>
      </c>
      <c r="B23" s="7">
        <f>SUMIFS('Manual Expense Entry'!D$8:D$100, 'Manual Expense Entry'!C$8:C$100, "Equipment &amp; Maintenance")</f>
        <v/>
      </c>
      <c r="C23" s="8">
        <f>B23/B$12</f>
        <v/>
      </c>
      <c r="D23" s="9" t="inlineStr">
        <is>
          <t>1.5%</t>
        </is>
      </c>
      <c r="E23" s="10" t="inlineStr">
        <is>
          <t>Tool repairs, fleet service, software subs</t>
        </is>
      </c>
      <c r="F23" s="10">
        <f>SUMIFS(ledger, category, "Equipment &amp; Maintenance")</f>
        <v/>
      </c>
    </row>
    <row r="24">
      <c r="A24" s="6" t="inlineStr">
        <is>
          <t xml:space="preserve">  - Shipping &amp; Logistics</t>
        </is>
      </c>
      <c r="B24" s="7">
        <f>SUMIFS('Manual Expense Entry'!D$8:D$100, 'Manual Expense Entry'!C$8:C$100, "Shipping &amp; Logistics")</f>
        <v/>
      </c>
      <c r="C24" s="8">
        <f>B24/B$12</f>
        <v/>
      </c>
      <c r="D24" s="9" t="inlineStr">
        <is>
          <t>1.2%</t>
        </is>
      </c>
      <c r="E24" s="10" t="inlineStr">
        <is>
          <t>Freight, courier, customs clearance fees</t>
        </is>
      </c>
      <c r="F24" s="10">
        <f>SUMIFS(ledger, category, "Shipping &amp; Logistics")</f>
        <v/>
      </c>
    </row>
    <row r="25">
      <c r="A25" s="6" t="inlineStr">
        <is>
          <t xml:space="preserve">  - Taxes &amp; Compliance</t>
        </is>
      </c>
      <c r="B25" s="7">
        <f>SUMIFS('Manual Expense Entry'!D$8:D$100, 'Manual Expense Entry'!C$8:C$100, "Taxes &amp; Compliance")</f>
        <v/>
      </c>
      <c r="C25" s="8">
        <f>B25/B$12</f>
        <v/>
      </c>
      <c r="D25" s="9" t="inlineStr">
        <is>
          <t>1.8%</t>
        </is>
      </c>
      <c r="E25" s="10" t="inlineStr">
        <is>
          <t>Municipal taxes, licensing fees, audit</t>
        </is>
      </c>
      <c r="F25" s="10">
        <f>SUMIFS(ledger, category, "Taxes &amp; Compliance")</f>
        <v/>
      </c>
    </row>
    <row r="26">
      <c r="A26" s="6" t="inlineStr">
        <is>
          <t xml:space="preserve">  - Professional Services</t>
        </is>
      </c>
      <c r="B26" s="7">
        <f>SUMIFS('Manual Expense Entry'!D$8:D$100, 'Manual Expense Entry'!C$8:C$100, "Professional Services")</f>
        <v/>
      </c>
      <c r="C26" s="8">
        <f>B26/B$12</f>
        <v/>
      </c>
      <c r="D26" s="9" t="inlineStr">
        <is>
          <t>1.0%</t>
        </is>
      </c>
      <c r="E26" s="10" t="inlineStr">
        <is>
          <t>External legal advisory, CPA retainers</t>
        </is>
      </c>
      <c r="F26" s="10">
        <f>SUMIFS(ledger, category, "Professional Services")</f>
        <v/>
      </c>
    </row>
    <row r="27">
      <c r="A27" s="6" t="inlineStr">
        <is>
          <t xml:space="preserve">  - Depreciation &amp; Amortization</t>
        </is>
      </c>
      <c r="B27" s="7">
        <f>SUMIFS('Manual Expense Entry'!D$8:D$100, 'Manual Expense Entry'!C$8:C$100, "Depreciation")</f>
        <v/>
      </c>
      <c r="C27" s="8">
        <f>B27/B$12</f>
        <v/>
      </c>
      <c r="D27" s="9" t="inlineStr">
        <is>
          <t>1.0%</t>
        </is>
      </c>
      <c r="E27" s="10" t="inlineStr">
        <is>
          <t>Machinery &amp; tech equipment depreciation</t>
        </is>
      </c>
      <c r="F27" s="10">
        <f>SUMIFS(ledger, category, "Depreciation")</f>
        <v/>
      </c>
    </row>
    <row r="28">
      <c r="A28" s="6" t="inlineStr">
        <is>
          <t xml:space="preserve">  - Miscellaneous / Other / Custom</t>
        </is>
      </c>
      <c r="B28" s="7">
        <f>SUMIFS('Manual Expense Entry'!D$8:D$100, 'Manual Expense Entry'!C$8:C$100, "Miscellaneous / Other") + SUMIFS('Manual Expense Entry'!D$8:D$100, 'Manual Expense Entry'!C$8:C$100, "Custom / Project-Specific")</f>
        <v/>
      </c>
      <c r="C28" s="8">
        <f>B28/B$12</f>
        <v/>
      </c>
      <c r="D28" s="9" t="inlineStr">
        <is>
          <t>1.0%</t>
        </is>
      </c>
      <c r="E28" s="10" t="inlineStr">
        <is>
          <t>Sundry &amp; ad-hoc project expenses</t>
        </is>
      </c>
      <c r="F28" s="10">
        <f>SUMIFS(ledger, category, other/custom)</f>
        <v/>
      </c>
    </row>
    <row r="29">
      <c r="A29" s="6" t="inlineStr"/>
      <c r="B29" s="6" t="inlineStr"/>
      <c r="C29" s="8" t="inlineStr"/>
      <c r="D29" s="9" t="inlineStr"/>
      <c r="E29" s="10" t="inlineStr"/>
      <c r="F29" s="10" t="inlineStr"/>
    </row>
    <row r="30">
      <c r="A30" s="14" t="inlineStr">
        <is>
          <t>NET OPERATING PROFIT (EBIT)</t>
        </is>
      </c>
      <c r="B30" s="15">
        <f>B15-B18</f>
        <v/>
      </c>
      <c r="C30" s="8">
        <f>B30/B$12</f>
        <v/>
      </c>
      <c r="D30" s="9" t="inlineStr">
        <is>
          <t>24.7%</t>
        </is>
      </c>
      <c r="E30" s="10" t="inlineStr">
        <is>
          <t>Healthy net operating profitability</t>
        </is>
      </c>
      <c r="F30" s="10">
        <f> Gross Profit - Total Manual Expenses</f>
        <v/>
      </c>
    </row>
    <row r="31">
      <c r="A31" s="6" t="inlineStr">
        <is>
          <t>Net Profit Margin %</t>
        </is>
      </c>
      <c r="B31" s="13">
        <f>B30/B12</f>
        <v/>
      </c>
      <c r="C31" s="8" t="inlineStr">
        <is>
          <t>-</t>
        </is>
      </c>
      <c r="D31" s="9" t="inlineStr">
        <is>
          <t>20.0% - 25.0%</t>
        </is>
      </c>
      <c r="E31" s="10" t="inlineStr">
        <is>
          <t>Target net margin threshold &gt;= 20%</t>
        </is>
      </c>
      <c r="F31" s="10">
        <f> Net Operating Profit / Revenue</f>
        <v/>
      </c>
    </row>
  </sheetData>
  <mergeCells count="3">
    <mergeCell ref="A2:G2"/>
    <mergeCell ref="A1:G1"/>
    <mergeCell ref="A9:G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8" customWidth="1" min="3" max="3"/>
    <col width="18" customWidth="1" min="4" max="4"/>
    <col width="20" customWidth="1" min="5" max="5"/>
    <col width="32" customWidth="1" min="6" max="6"/>
    <col width="46" customWidth="1" min="7" max="7"/>
  </cols>
  <sheetData>
    <row r="1">
      <c r="A1" s="1" t="inlineStr">
        <is>
          <t>DEDICATED MANUAL EXPENSE ENTRY LEDGER</t>
        </is>
      </c>
    </row>
    <row r="2">
      <c r="A2" s="2" t="inlineStr">
        <is>
          <t>Insert new expense rows below. Category dropdowns, running totals, and P&amp;L deductions update dynamically.</t>
        </is>
      </c>
    </row>
    <row r="4">
      <c r="A4" s="16" t="inlineStr">
        <is>
          <t>TOTAL EXPENSES LOGGED:</t>
        </is>
      </c>
      <c r="B4" s="17">
        <f>F4</f>
        <v/>
      </c>
      <c r="D4" s="18" t="inlineStr">
        <is>
          <t>RECORD COUNT:</t>
        </is>
      </c>
      <c r="E4" s="18">
        <f>COUNTA(B8:B100)</f>
        <v/>
      </c>
      <c r="F4" s="19">
        <f>SUM(D8:D100)</f>
        <v/>
      </c>
    </row>
    <row r="7">
      <c r="A7" s="20" t="inlineStr">
        <is>
          <t>Entry ID</t>
        </is>
      </c>
      <c r="B7" s="20" t="inlineStr">
        <is>
          <t>Date (YYYY-MM-DD)</t>
        </is>
      </c>
      <c r="C7" s="21" t="inlineStr">
        <is>
          <t>Expense Category</t>
        </is>
      </c>
      <c r="D7" s="22" t="inlineStr">
        <is>
          <t>Amount ($)</t>
        </is>
      </c>
      <c r="E7" s="22" t="inlineStr">
        <is>
          <t>Running Total ($)</t>
        </is>
      </c>
      <c r="F7" s="21" t="inlineStr">
        <is>
          <t>Vendor / Payee &amp; Reference</t>
        </is>
      </c>
      <c r="G7" s="21" t="inlineStr">
        <is>
          <t>Business Purpose / Notes</t>
        </is>
      </c>
    </row>
    <row r="8">
      <c r="A8" s="23" t="inlineStr">
        <is>
          <t>EXP-001</t>
        </is>
      </c>
      <c r="B8" s="9" t="inlineStr">
        <is>
          <t>2025-01-05</t>
        </is>
      </c>
      <c r="C8" s="24" t="inlineStr">
        <is>
          <t>Operating Costs</t>
        </is>
      </c>
      <c r="D8" s="7" t="n">
        <v>14500</v>
      </c>
      <c r="E8" s="25">
        <f>SUM(D$8:D8)</f>
        <v/>
      </c>
      <c r="F8" s="24" t="inlineStr">
        <is>
          <t>SmartHQ Facility Mgmt</t>
        </is>
      </c>
      <c r="G8" s="24" t="inlineStr">
        <is>
          <t>Headquarters floor lease &amp; janitorial services</t>
        </is>
      </c>
    </row>
    <row r="9">
      <c r="A9" s="23" t="inlineStr">
        <is>
          <t>EXP-002</t>
        </is>
      </c>
      <c r="B9" s="26" t="inlineStr">
        <is>
          <t>2025-01-08</t>
        </is>
      </c>
      <c r="C9" s="24" t="inlineStr">
        <is>
          <t>Salaries &amp; Wages</t>
        </is>
      </c>
      <c r="D9" s="27" t="n">
        <v>48000</v>
      </c>
      <c r="E9" s="25">
        <f>SUM(D$8:D9)</f>
        <v/>
      </c>
      <c r="F9" s="28" t="inlineStr">
        <is>
          <t>Payroll Clearing Account</t>
        </is>
      </c>
      <c r="G9" s="24" t="inlineStr">
        <is>
          <t>Monthly administrative, sales &amp; management payroll</t>
        </is>
      </c>
    </row>
    <row r="10">
      <c r="A10" s="23" t="inlineStr">
        <is>
          <t>EXP-003</t>
        </is>
      </c>
      <c r="B10" s="9" t="inlineStr">
        <is>
          <t>2025-01-10</t>
        </is>
      </c>
      <c r="C10" s="24" t="inlineStr">
        <is>
          <t>Utilities &amp; Facilities</t>
        </is>
      </c>
      <c r="D10" s="7" t="n">
        <v>6800</v>
      </c>
      <c r="E10" s="25">
        <f>SUM(D$8:D10)</f>
        <v/>
      </c>
      <c r="F10" s="24" t="inlineStr">
        <is>
          <t>City Power &amp; Fiber Telecom</t>
        </is>
      </c>
      <c r="G10" s="24" t="inlineStr">
        <is>
          <t>Electricity, high-speed fiber backbone, water</t>
        </is>
      </c>
    </row>
    <row r="11">
      <c r="A11" s="23" t="inlineStr">
        <is>
          <t>EXP-004</t>
        </is>
      </c>
      <c r="B11" s="26" t="inlineStr">
        <is>
          <t>2025-01-12</t>
        </is>
      </c>
      <c r="C11" s="24" t="inlineStr">
        <is>
          <t>Marketing &amp; Advertising</t>
        </is>
      </c>
      <c r="D11" s="27" t="n">
        <v>12400</v>
      </c>
      <c r="E11" s="25">
        <f>SUM(D$8:D11)</f>
        <v/>
      </c>
      <c r="F11" s="28" t="inlineStr">
        <is>
          <t>Google &amp; LinkedIn Ads</t>
        </is>
      </c>
      <c r="G11" s="24" t="inlineStr">
        <is>
          <t>Q1 smart home commercial lead generation campaigns</t>
        </is>
      </c>
    </row>
    <row r="12">
      <c r="A12" s="23" t="inlineStr">
        <is>
          <t>EXP-005</t>
        </is>
      </c>
      <c r="B12" s="9" t="inlineStr">
        <is>
          <t>2025-01-15</t>
        </is>
      </c>
      <c r="C12" s="24" t="inlineStr">
        <is>
          <t>Equipment &amp; Maintenance</t>
        </is>
      </c>
      <c r="D12" s="7" t="n">
        <v>8200</v>
      </c>
      <c r="E12" s="25">
        <f>SUM(D$8:D12)</f>
        <v/>
      </c>
      <c r="F12" s="24" t="inlineStr">
        <is>
          <t>TechPro Calibration Ltd</t>
        </is>
      </c>
      <c r="G12" s="24" t="inlineStr">
        <is>
          <t>Testing gear calibration, technician fleet maintenance</t>
        </is>
      </c>
    </row>
    <row r="13">
      <c r="A13" s="23" t="inlineStr">
        <is>
          <t>EXP-006</t>
        </is>
      </c>
      <c r="B13" s="26" t="inlineStr">
        <is>
          <t>2025-01-18</t>
        </is>
      </c>
      <c r="C13" s="24" t="inlineStr">
        <is>
          <t>Shipping &amp; Logistics</t>
        </is>
      </c>
      <c r="D13" s="27" t="n">
        <v>5900</v>
      </c>
      <c r="E13" s="25">
        <f>SUM(D$8:D13)</f>
        <v/>
      </c>
      <c r="F13" s="28" t="inlineStr">
        <is>
          <t>Global Express Freight</t>
        </is>
      </c>
      <c r="G13" s="24" t="inlineStr">
        <is>
          <t>Air freight express for expedited microcontroller parts</t>
        </is>
      </c>
    </row>
    <row r="14">
      <c r="A14" s="23" t="inlineStr">
        <is>
          <t>EXP-007</t>
        </is>
      </c>
      <c r="B14" s="9" t="inlineStr">
        <is>
          <t>2025-01-20</t>
        </is>
      </c>
      <c r="C14" s="24" t="inlineStr">
        <is>
          <t>Taxes &amp; Compliance</t>
        </is>
      </c>
      <c r="D14" s="7" t="n">
        <v>9500</v>
      </c>
      <c r="E14" s="25">
        <f>SUM(D$8:D14)</f>
        <v/>
      </c>
      <c r="F14" s="24" t="inlineStr">
        <is>
          <t>Regulatory Authority</t>
        </is>
      </c>
      <c r="G14" s="24" t="inlineStr">
        <is>
          <t>Annual smart equipment compliance &amp; safety certification</t>
        </is>
      </c>
    </row>
    <row r="15">
      <c r="A15" s="23" t="inlineStr">
        <is>
          <t>EXP-008</t>
        </is>
      </c>
      <c r="B15" s="26" t="inlineStr">
        <is>
          <t>2025-01-22</t>
        </is>
      </c>
      <c r="C15" s="24" t="inlineStr">
        <is>
          <t>Professional Services</t>
        </is>
      </c>
      <c r="D15" s="27" t="n">
        <v>6500</v>
      </c>
      <c r="E15" s="25">
        <f>SUM(D$8:D15)</f>
        <v/>
      </c>
      <c r="F15" s="28" t="inlineStr">
        <is>
          <t>Apex Legal &amp; CPA Partners</t>
        </is>
      </c>
      <c r="G15" s="24" t="inlineStr">
        <is>
          <t>Corporate legal retainer, quarterly financial audit</t>
        </is>
      </c>
    </row>
    <row r="16">
      <c r="A16" s="23" t="inlineStr">
        <is>
          <t>EXP-009</t>
        </is>
      </c>
      <c r="B16" s="9" t="inlineStr">
        <is>
          <t>2025-01-25</t>
        </is>
      </c>
      <c r="C16" s="24" t="inlineStr">
        <is>
          <t>Depreciation</t>
        </is>
      </c>
      <c r="D16" s="7" t="n">
        <v>4200</v>
      </c>
      <c r="E16" s="25">
        <f>SUM(D$8:D16)</f>
        <v/>
      </c>
      <c r="F16" s="24" t="inlineStr">
        <is>
          <t>Internal Asset Schedule</t>
        </is>
      </c>
      <c r="G16" s="24" t="inlineStr">
        <is>
          <t>Monthly depreciation on laboratory and demo showroom gear</t>
        </is>
      </c>
    </row>
    <row r="17">
      <c r="A17" s="23" t="inlineStr">
        <is>
          <t>EXP-010</t>
        </is>
      </c>
      <c r="B17" s="26" t="inlineStr">
        <is>
          <t>2025-01-28</t>
        </is>
      </c>
      <c r="C17" s="24" t="inlineStr">
        <is>
          <t>Miscellaneous / Other</t>
        </is>
      </c>
      <c r="D17" s="27" t="n">
        <v>3100</v>
      </c>
      <c r="E17" s="25">
        <f>SUM(D$8:D17)</f>
        <v/>
      </c>
      <c r="F17" s="28" t="inlineStr">
        <is>
          <t>Various Suppliers</t>
        </is>
      </c>
      <c r="G17" s="24" t="inlineStr">
        <is>
          <t>Staff training, technical library subscriptions, petty cash</t>
        </is>
      </c>
    </row>
    <row r="18">
      <c r="A18" s="23" t="inlineStr">
        <is>
          <t>EXP-011</t>
        </is>
      </c>
      <c r="B18" s="9" t="inlineStr">
        <is>
          <t>2025-02-02</t>
        </is>
      </c>
      <c r="C18" s="24" t="inlineStr">
        <is>
          <t>Custom / Project-Specific</t>
        </is>
      </c>
      <c r="D18" s="7" t="n">
        <v>5800</v>
      </c>
      <c r="E18" s="25">
        <f>SUM(D$8:D18)</f>
        <v/>
      </c>
      <c r="F18" s="24" t="inlineStr">
        <is>
          <t>KNX Certification Center</t>
        </is>
      </c>
      <c r="G18" s="24" t="inlineStr">
        <is>
          <t>Advanced KNX Partner training for 2 automation engineers</t>
        </is>
      </c>
    </row>
    <row r="19">
      <c r="A19" s="23" t="inlineStr">
        <is>
          <t>EXP-012</t>
        </is>
      </c>
      <c r="B19" s="26" t="inlineStr">
        <is>
          <t>2025-02-05</t>
        </is>
      </c>
      <c r="C19" s="24" t="inlineStr">
        <is>
          <t>Operating Costs</t>
        </is>
      </c>
      <c r="D19" s="27" t="n">
        <v>11200</v>
      </c>
      <c r="E19" s="25">
        <f>SUM(D$8:D19)</f>
        <v/>
      </c>
      <c r="F19" s="28" t="inlineStr">
        <is>
          <t>SmartHQ Storage Hub</t>
        </is>
      </c>
      <c r="G19" s="24" t="inlineStr">
        <is>
          <t>Offsite bonded warehouse rental for bulk switch inventory</t>
        </is>
      </c>
    </row>
    <row r="20">
      <c r="A20" s="29" t="inlineStr">
        <is>
          <t>EXP-013</t>
        </is>
      </c>
      <c r="B20" s="30" t="n"/>
      <c r="C20" s="30" t="n"/>
      <c r="D20" s="31" t="n"/>
      <c r="E20" s="25">
        <f>IF(D20&gt;0, SUM(D$8:D20), "")</f>
        <v/>
      </c>
      <c r="F20" s="30" t="n"/>
      <c r="G20" s="30" t="n"/>
    </row>
    <row r="21">
      <c r="A21" s="29" t="inlineStr">
        <is>
          <t>EXP-014</t>
        </is>
      </c>
      <c r="B21" s="30" t="n"/>
      <c r="C21" s="30" t="n"/>
      <c r="D21" s="31" t="n"/>
      <c r="E21" s="25">
        <f>IF(D21&gt;0, SUM(D$8:D21), "")</f>
        <v/>
      </c>
      <c r="F21" s="30" t="n"/>
      <c r="G21" s="30" t="n"/>
    </row>
    <row r="22">
      <c r="A22" s="29" t="inlineStr">
        <is>
          <t>EXP-015</t>
        </is>
      </c>
      <c r="B22" s="30" t="n"/>
      <c r="C22" s="30" t="n"/>
      <c r="D22" s="31" t="n"/>
      <c r="E22" s="25">
        <f>IF(D22&gt;0, SUM(D$8:D22), "")</f>
        <v/>
      </c>
      <c r="F22" s="30" t="n"/>
      <c r="G22" s="30" t="n"/>
    </row>
    <row r="23">
      <c r="A23" s="29" t="inlineStr">
        <is>
          <t>EXP-016</t>
        </is>
      </c>
      <c r="B23" s="30" t="n"/>
      <c r="C23" s="30" t="n"/>
      <c r="D23" s="31" t="n"/>
      <c r="E23" s="25">
        <f>IF(D23&gt;0, SUM(D$8:D23), "")</f>
        <v/>
      </c>
      <c r="F23" s="30" t="n"/>
      <c r="G23" s="30" t="n"/>
    </row>
    <row r="24">
      <c r="A24" s="29" t="inlineStr">
        <is>
          <t>EXP-017</t>
        </is>
      </c>
      <c r="B24" s="30" t="n"/>
      <c r="C24" s="30" t="n"/>
      <c r="D24" s="31" t="n"/>
      <c r="E24" s="25">
        <f>IF(D24&gt;0, SUM(D$8:D24), "")</f>
        <v/>
      </c>
      <c r="F24" s="30" t="n"/>
      <c r="G24" s="30" t="n"/>
    </row>
    <row r="25">
      <c r="A25" s="29" t="inlineStr">
        <is>
          <t>EXP-018</t>
        </is>
      </c>
      <c r="B25" s="30" t="n"/>
      <c r="C25" s="30" t="n"/>
      <c r="D25" s="31" t="n"/>
      <c r="E25" s="25">
        <f>IF(D25&gt;0, SUM(D$8:D25), "")</f>
        <v/>
      </c>
      <c r="F25" s="30" t="n"/>
      <c r="G25" s="30" t="n"/>
    </row>
    <row r="26">
      <c r="A26" s="29" t="inlineStr">
        <is>
          <t>EXP-019</t>
        </is>
      </c>
      <c r="B26" s="30" t="n"/>
      <c r="C26" s="30" t="n"/>
      <c r="D26" s="31" t="n"/>
      <c r="E26" s="25">
        <f>IF(D26&gt;0, SUM(D$8:D26), "")</f>
        <v/>
      </c>
      <c r="F26" s="30" t="n"/>
      <c r="G26" s="30" t="n"/>
    </row>
    <row r="27">
      <c r="A27" s="29" t="inlineStr">
        <is>
          <t>EXP-020</t>
        </is>
      </c>
      <c r="B27" s="30" t="n"/>
      <c r="C27" s="30" t="n"/>
      <c r="D27" s="31" t="n"/>
      <c r="E27" s="25">
        <f>IF(D27&gt;0, SUM(D$8:D27), "")</f>
        <v/>
      </c>
      <c r="F27" s="30" t="n"/>
      <c r="G27" s="30" t="n"/>
    </row>
    <row r="28">
      <c r="A28" s="29" t="inlineStr">
        <is>
          <t>EXP-021</t>
        </is>
      </c>
      <c r="B28" s="30" t="n"/>
      <c r="C28" s="30" t="n"/>
      <c r="D28" s="31" t="n"/>
      <c r="E28" s="25">
        <f>IF(D28&gt;0, SUM(D$8:D28), "")</f>
        <v/>
      </c>
      <c r="F28" s="30" t="n"/>
      <c r="G28" s="30" t="n"/>
    </row>
    <row r="29">
      <c r="A29" s="29" t="inlineStr">
        <is>
          <t>EXP-022</t>
        </is>
      </c>
      <c r="B29" s="30" t="n"/>
      <c r="C29" s="30" t="n"/>
      <c r="D29" s="31" t="n"/>
      <c r="E29" s="25">
        <f>IF(D29&gt;0, SUM(D$8:D29), "")</f>
        <v/>
      </c>
      <c r="F29" s="30" t="n"/>
      <c r="G29" s="30" t="n"/>
    </row>
  </sheetData>
  <mergeCells count="2">
    <mergeCell ref="A2:G2"/>
    <mergeCell ref="A1:G1"/>
  </mergeCells>
  <dataValidations count="1">
    <dataValidation sqref="C8:C100" showDropDown="0" showInputMessage="0" showErrorMessage="0" allowBlank="1" errorTitle="Invalid Expense Category" error="Your entry is not in the approved category list. Please select from the dropdown or add a category in the Setup tab." promptTitle="Select Expense Category" prompt="Please select a category from the predefined list" type="list">
      <formula1>='Category Setup &amp; Legend'!$A$8:$A$18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0" customWidth="1" min="3" max="3"/>
    <col width="22" customWidth="1" min="4" max="4"/>
    <col width="22" customWidth="1" min="5" max="5"/>
    <col width="18" customWidth="1" min="6" max="6"/>
    <col width="55" customWidth="1" min="7" max="7"/>
  </cols>
  <sheetData>
    <row r="1">
      <c r="A1" s="1" t="inlineStr">
        <is>
          <t>PREDEFINED EXPENSE CATEGORIES &amp; METRIC LEGEND</t>
        </is>
      </c>
    </row>
    <row r="2">
      <c r="A2" s="2" t="inlineStr">
        <is>
          <t>Master category definitions, accounting classification, target budgets, and real-time variance monitoring.</t>
        </is>
      </c>
    </row>
    <row r="7">
      <c r="A7" s="21" t="inlineStr">
        <is>
          <t>Category Name</t>
        </is>
      </c>
      <c r="B7" s="20" t="inlineStr">
        <is>
          <t>Accounting Classification</t>
        </is>
      </c>
      <c r="C7" s="20" t="inlineStr">
        <is>
          <t>Cost Nature</t>
        </is>
      </c>
      <c r="D7" s="22" t="inlineStr">
        <is>
          <t>Monthly Budget Cap ($)</t>
        </is>
      </c>
      <c r="E7" s="22" t="inlineStr">
        <is>
          <t>Actual YTD Spend ($)</t>
        </is>
      </c>
      <c r="F7" s="22" t="inlineStr">
        <is>
          <t>Variance ($)</t>
        </is>
      </c>
      <c r="G7" s="21" t="inlineStr">
        <is>
          <t>Definition &amp; Scope of Allowable Costs</t>
        </is>
      </c>
    </row>
    <row r="8">
      <c r="A8" s="11" t="inlineStr">
        <is>
          <t>Operating Costs</t>
        </is>
      </c>
      <c r="B8" s="9" t="inlineStr">
        <is>
          <t>General &amp; Administrative</t>
        </is>
      </c>
      <c r="C8" s="9" t="inlineStr">
        <is>
          <t>Semi-Variable</t>
        </is>
      </c>
      <c r="D8" s="7" t="n">
        <v>25000</v>
      </c>
      <c r="E8" s="25">
        <f>SUMIFS('Manual Expense Entry'!D$8:D$100, 'Manual Expense Entry'!C$8:C$100, A8)</f>
        <v/>
      </c>
      <c r="F8" s="25">
        <f>D8-E8</f>
        <v/>
      </c>
      <c r="G8" s="24" t="inlineStr">
        <is>
          <t>General facility overhead, office lease, shared building charges, daily administration</t>
        </is>
      </c>
    </row>
    <row r="9">
      <c r="A9" s="11" t="inlineStr">
        <is>
          <t>Salaries &amp; Wages</t>
        </is>
      </c>
      <c r="B9" s="9" t="inlineStr">
        <is>
          <t>Personnel / Payroll</t>
        </is>
      </c>
      <c r="C9" s="9" t="inlineStr">
        <is>
          <t>Fixed</t>
        </is>
      </c>
      <c r="D9" s="7" t="n">
        <v>55000</v>
      </c>
      <c r="E9" s="25">
        <f>SUMIFS('Manual Expense Entry'!D$8:D$100, 'Manual Expense Entry'!C$8:C$100, A9)</f>
        <v/>
      </c>
      <c r="F9" s="25">
        <f>D9-E9</f>
        <v/>
      </c>
      <c r="G9" s="24" t="inlineStr">
        <is>
          <t>Non-project staff salaries, management, sales commissions, administrative payroll &amp; bonuses</t>
        </is>
      </c>
    </row>
    <row r="10">
      <c r="A10" s="11" t="inlineStr">
        <is>
          <t>Utilities &amp; Facilities</t>
        </is>
      </c>
      <c r="B10" s="9" t="inlineStr">
        <is>
          <t>Facility Overhead</t>
        </is>
      </c>
      <c r="C10" s="9" t="inlineStr">
        <is>
          <t>Fixed / Variable</t>
        </is>
      </c>
      <c r="D10" s="7" t="n">
        <v>8500</v>
      </c>
      <c r="E10" s="25">
        <f>SUMIFS('Manual Expense Entry'!D$8:D$100, 'Manual Expense Entry'!C$8:C$100, A10)</f>
        <v/>
      </c>
      <c r="F10" s="25">
        <f>D10-E10</f>
        <v/>
      </c>
      <c r="G10" s="24" t="inlineStr">
        <is>
          <t>Electricity, municipal water, high-speed fiber internet, security, HVAC maintenance</t>
        </is>
      </c>
    </row>
    <row r="11">
      <c r="A11" s="11" t="inlineStr">
        <is>
          <t>Marketing &amp; Advertising</t>
        </is>
      </c>
      <c r="B11" s="9" t="inlineStr">
        <is>
          <t>Sales &amp; Marketing</t>
        </is>
      </c>
      <c r="C11" s="9" t="inlineStr">
        <is>
          <t>Discretionary</t>
        </is>
      </c>
      <c r="D11" s="7" t="n">
        <v>15000</v>
      </c>
      <c r="E11" s="25">
        <f>SUMIFS('Manual Expense Entry'!D$8:D$100, 'Manual Expense Entry'!C$8:C$100, A11)</f>
        <v/>
      </c>
      <c r="F11" s="25">
        <f>D11-E11</f>
        <v/>
      </c>
      <c r="G11" s="24" t="inlineStr">
        <is>
          <t>Digital PPC campaigns, showroom promotions, collateral printing, trade show presence</t>
        </is>
      </c>
    </row>
    <row r="12">
      <c r="A12" s="11" t="inlineStr">
        <is>
          <t>Equipment &amp; Maintenance</t>
        </is>
      </c>
      <c r="B12" s="9" t="inlineStr">
        <is>
          <t>Operations &amp; Fleet</t>
        </is>
      </c>
      <c r="C12" s="9" t="inlineStr">
        <is>
          <t>Semi-Variable</t>
        </is>
      </c>
      <c r="D12" s="7" t="n">
        <v>10000</v>
      </c>
      <c r="E12" s="25">
        <f>SUMIFS('Manual Expense Entry'!D$8:D$100, 'Manual Expense Entry'!C$8:C$100, A12)</f>
        <v/>
      </c>
      <c r="F12" s="25">
        <f>D12-E12</f>
        <v/>
      </c>
      <c r="G12" s="24" t="inlineStr">
        <is>
          <t>Testing &amp; calibration tool upkeep, diagnostic software licenses, field technician vehicle service</t>
        </is>
      </c>
    </row>
    <row r="13">
      <c r="A13" s="11" t="inlineStr">
        <is>
          <t>Shipping &amp; Logistics</t>
        </is>
      </c>
      <c r="B13" s="9" t="inlineStr">
        <is>
          <t>Logistics Overhead</t>
        </is>
      </c>
      <c r="C13" s="9" t="inlineStr">
        <is>
          <t>Variable</t>
        </is>
      </c>
      <c r="D13" s="7" t="n">
        <v>7500</v>
      </c>
      <c r="E13" s="25">
        <f>SUMIFS('Manual Expense Entry'!D$8:D$100, 'Manual Expense Entry'!C$8:C$100, A13)</f>
        <v/>
      </c>
      <c r="F13" s="25">
        <f>D13-E13</f>
        <v/>
      </c>
      <c r="G13" s="24" t="inlineStr">
        <is>
          <t>Freight inbound/outbound, courier delivery, express customs clearance, packaging supplies</t>
        </is>
      </c>
    </row>
    <row r="14">
      <c r="A14" s="11" t="inlineStr">
        <is>
          <t>Taxes &amp; Compliance</t>
        </is>
      </c>
      <c r="B14" s="9" t="inlineStr">
        <is>
          <t>Statutory &amp; Compliance</t>
        </is>
      </c>
      <c r="C14" s="9" t="inlineStr">
        <is>
          <t>Fixed / Mandatory</t>
        </is>
      </c>
      <c r="D14" s="7" t="n">
        <v>12000</v>
      </c>
      <c r="E14" s="25">
        <f>SUMIFS('Manual Expense Entry'!D$8:D$100, 'Manual Expense Entry'!C$8:C$100, A14)</f>
        <v/>
      </c>
      <c r="F14" s="25">
        <f>D14-E14</f>
        <v/>
      </c>
      <c r="G14" s="24" t="inlineStr">
        <is>
          <t>Municipal taxes, safety certifications, annual company registration, ISO quality compliance</t>
        </is>
      </c>
    </row>
    <row r="15">
      <c r="A15" s="11" t="inlineStr">
        <is>
          <t>Professional Services</t>
        </is>
      </c>
      <c r="B15" s="9" t="inlineStr">
        <is>
          <t>External Consulting</t>
        </is>
      </c>
      <c r="C15" s="9" t="inlineStr">
        <is>
          <t>Discretionary / Retainer</t>
        </is>
      </c>
      <c r="D15" s="7" t="n">
        <v>8000</v>
      </c>
      <c r="E15" s="25">
        <f>SUMIFS('Manual Expense Entry'!D$8:D$100, 'Manual Expense Entry'!C$8:C$100, A15)</f>
        <v/>
      </c>
      <c r="F15" s="25">
        <f>D15-E15</f>
        <v/>
      </c>
      <c r="G15" s="24" t="inlineStr">
        <is>
          <t>External corporate counsel retainers, CPA audit fees, specialized tax &amp; IT consulting</t>
        </is>
      </c>
    </row>
    <row r="16">
      <c r="A16" s="11" t="inlineStr">
        <is>
          <t>Depreciation</t>
        </is>
      </c>
      <c r="B16" s="9" t="inlineStr">
        <is>
          <t>Non-Cash Expense</t>
        </is>
      </c>
      <c r="C16" s="9" t="inlineStr">
        <is>
          <t>Fixed (Scheduled)</t>
        </is>
      </c>
      <c r="D16" s="7" t="n">
        <v>5000</v>
      </c>
      <c r="E16" s="25">
        <f>SUMIFS('Manual Expense Entry'!D$8:D$100, 'Manual Expense Entry'!C$8:C$100, A16)</f>
        <v/>
      </c>
      <c r="F16" s="25">
        <f>D16-E16</f>
        <v/>
      </c>
      <c r="G16" s="24" t="inlineStr">
        <is>
          <t>Scheduled straight-line depreciation of office furniture, diagnostic computers, showroom gear</t>
        </is>
      </c>
    </row>
    <row r="17">
      <c r="A17" s="11" t="inlineStr">
        <is>
          <t>Miscellaneous / Other</t>
        </is>
      </c>
      <c r="B17" s="9" t="inlineStr">
        <is>
          <t>Sundry Expenses</t>
        </is>
      </c>
      <c r="C17" s="9" t="inlineStr">
        <is>
          <t>Discretionary</t>
        </is>
      </c>
      <c r="D17" s="7" t="n">
        <v>4000</v>
      </c>
      <c r="E17" s="25">
        <f>SUMIFS('Manual Expense Entry'!D$8:D$100, 'Manual Expense Entry'!C$8:C$100, A17)</f>
        <v/>
      </c>
      <c r="F17" s="25">
        <f>D17-E17</f>
        <v/>
      </c>
      <c r="G17" s="24" t="inlineStr">
        <is>
          <t>Incidental office supplies, employee hospitality, technical periodicals, emergency petty cash</t>
        </is>
      </c>
    </row>
    <row r="18">
      <c r="A18" s="11" t="inlineStr">
        <is>
          <t>Custom / Project-Specific</t>
        </is>
      </c>
      <c r="B18" s="9" t="inlineStr">
        <is>
          <t>User Defined</t>
        </is>
      </c>
      <c r="C18" s="9" t="inlineStr">
        <is>
          <t>Variable</t>
        </is>
      </c>
      <c r="D18" s="7" t="n">
        <v>10000</v>
      </c>
      <c r="E18" s="25">
        <f>SUMIFS('Manual Expense Entry'!D$8:D$100, 'Manual Expense Entry'!C$8:C$100, A18)</f>
        <v/>
      </c>
      <c r="F18" s="25">
        <f>D18-E18</f>
        <v/>
      </c>
      <c r="G18" s="24" t="inlineStr">
        <is>
          <t>User-customizable category for specialized project contingencies or certification programs</t>
        </is>
      </c>
    </row>
    <row r="19">
      <c r="A19" s="32" t="inlineStr">
        <is>
          <t>TOTAL BUDGET &amp; ACTUALS</t>
        </is>
      </c>
      <c r="B19" s="33" t="inlineStr">
        <is>
          <t>-</t>
        </is>
      </c>
      <c r="C19" s="33" t="inlineStr">
        <is>
          <t>-</t>
        </is>
      </c>
      <c r="D19" s="34">
        <f>SUM(D8:D18)</f>
        <v/>
      </c>
      <c r="E19" s="34">
        <f>SUM(E8:E18)</f>
        <v/>
      </c>
      <c r="F19" s="34">
        <f>SUM(F8:F18)</f>
        <v/>
      </c>
      <c r="G19" s="35" t="inlineStr">
        <is>
          <t>Budget vs Actual Variance Summary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6" customWidth="1" min="3" max="3"/>
    <col width="28" customWidth="1" min="4" max="4"/>
    <col width="20" customWidth="1" min="5" max="5"/>
    <col width="6" customWidth="1" min="6" max="6"/>
  </cols>
  <sheetData>
    <row r="1">
      <c r="A1" s="1" t="inlineStr">
        <is>
          <t>PROFIT BRIDGE &amp; EXPENSE IMPACT VISUALS</t>
        </is>
      </c>
    </row>
    <row r="2">
      <c r="A2" s="36" t="inlineStr">
        <is>
          <t>Graphical presentation of Gross Profit erosion through operating expense categories into final Net Profit.</t>
        </is>
      </c>
    </row>
    <row r="5">
      <c r="A5" s="37" t="inlineStr">
        <is>
          <t>Bridge Step</t>
        </is>
      </c>
      <c r="B5" s="37" t="inlineStr">
        <is>
          <t>Amount ($)</t>
        </is>
      </c>
      <c r="D5" s="38" t="inlineStr">
        <is>
          <t>Expense Category</t>
        </is>
      </c>
      <c r="E5" s="38" t="inlineStr">
        <is>
          <t>Total Spend ($)</t>
        </is>
      </c>
    </row>
    <row r="6">
      <c r="A6" s="6" t="inlineStr">
        <is>
          <t>Gross Revenue</t>
        </is>
      </c>
      <c r="B6" s="39">
        <f>'P&amp;L &amp; Profit Integration'!B12</f>
        <v/>
      </c>
      <c r="D6" s="6" t="inlineStr">
        <is>
          <t>Operating Costs</t>
        </is>
      </c>
      <c r="E6" s="39">
        <f>'Category Setup &amp; Legend'!E8</f>
        <v/>
      </c>
    </row>
    <row r="7">
      <c r="A7" s="6" t="inlineStr">
        <is>
          <t>Less: Direct COGS</t>
        </is>
      </c>
      <c r="B7" s="39">
        <f>-'P&amp;L &amp; Profit Integration'!B13</f>
        <v/>
      </c>
      <c r="D7" s="6" t="inlineStr">
        <is>
          <t>Salaries &amp; Wages</t>
        </is>
      </c>
      <c r="E7" s="39">
        <f>'Category Setup &amp; Legend'!E9</f>
        <v/>
      </c>
    </row>
    <row r="8">
      <c r="A8" s="6" t="inlineStr">
        <is>
          <t>Less: Direct Labor</t>
        </is>
      </c>
      <c r="B8" s="39">
        <f>-'P&amp;L &amp; Profit Integration'!B14</f>
        <v/>
      </c>
      <c r="D8" s="6" t="inlineStr">
        <is>
          <t>Utilities &amp; Facilities</t>
        </is>
      </c>
      <c r="E8" s="39">
        <f>'Category Setup &amp; Legend'!E10</f>
        <v/>
      </c>
    </row>
    <row r="9">
      <c r="A9" s="11" t="inlineStr">
        <is>
          <t>GROSS PROFIT</t>
        </is>
      </c>
      <c r="B9" s="40">
        <f>'P&amp;L &amp; Profit Integration'!B15</f>
        <v/>
      </c>
      <c r="D9" s="6" t="inlineStr">
        <is>
          <t>Marketing &amp; Advertising</t>
        </is>
      </c>
      <c r="E9" s="39">
        <f>'Category Setup &amp; Legend'!E11</f>
        <v/>
      </c>
    </row>
    <row r="10">
      <c r="A10" s="6" t="inlineStr">
        <is>
          <t>Less: Operating Costs</t>
        </is>
      </c>
      <c r="B10" s="39">
        <f>-'P&amp;L &amp; Profit Integration'!B19</f>
        <v/>
      </c>
      <c r="D10" s="6" t="inlineStr">
        <is>
          <t>Equipment &amp; Maintenance</t>
        </is>
      </c>
      <c r="E10" s="39">
        <f>'Category Setup &amp; Legend'!E12</f>
        <v/>
      </c>
    </row>
    <row r="11">
      <c r="A11" s="6" t="inlineStr">
        <is>
          <t>Less: Salaries &amp; Wages</t>
        </is>
      </c>
      <c r="B11" s="39">
        <f>-'P&amp;L &amp; Profit Integration'!B20</f>
        <v/>
      </c>
      <c r="D11" s="6" t="inlineStr">
        <is>
          <t>Shipping &amp; Logistics</t>
        </is>
      </c>
      <c r="E11" s="39">
        <f>'Category Setup &amp; Legend'!E13</f>
        <v/>
      </c>
    </row>
    <row r="12">
      <c r="A12" s="6" t="inlineStr">
        <is>
          <t>Less: Utilities &amp; Facilities</t>
        </is>
      </c>
      <c r="B12" s="39">
        <f>-'P&amp;L &amp; Profit Integration'!B21</f>
        <v/>
      </c>
      <c r="D12" s="6" t="inlineStr">
        <is>
          <t>Taxes &amp; Compliance</t>
        </is>
      </c>
      <c r="E12" s="39">
        <f>'Category Setup &amp; Legend'!E14</f>
        <v/>
      </c>
    </row>
    <row r="13">
      <c r="A13" s="6" t="inlineStr">
        <is>
          <t>Less: Marketing &amp; Ads</t>
        </is>
      </c>
      <c r="B13" s="39">
        <f>-'P&amp;L &amp; Profit Integration'!B22</f>
        <v/>
      </c>
      <c r="D13" s="6" t="inlineStr">
        <is>
          <t>Professional Services</t>
        </is>
      </c>
      <c r="E13" s="39">
        <f>'Category Setup &amp; Legend'!E15</f>
        <v/>
      </c>
    </row>
    <row r="14">
      <c r="A14" s="6" t="inlineStr">
        <is>
          <t>Less: Equip &amp; Maintenance</t>
        </is>
      </c>
      <c r="B14" s="39">
        <f>-'P&amp;L &amp; Profit Integration'!B23</f>
        <v/>
      </c>
      <c r="D14" s="6" t="inlineStr">
        <is>
          <t>Depreciation</t>
        </is>
      </c>
      <c r="E14" s="39">
        <f>'Category Setup &amp; Legend'!E16</f>
        <v/>
      </c>
    </row>
    <row r="15">
      <c r="A15" s="6" t="inlineStr">
        <is>
          <t>Less: Shipping &amp; Logistics</t>
        </is>
      </c>
      <c r="B15" s="39">
        <f>-'P&amp;L &amp; Profit Integration'!B24</f>
        <v/>
      </c>
      <c r="D15" s="6" t="inlineStr">
        <is>
          <t>Miscellaneous / Other</t>
        </is>
      </c>
      <c r="E15" s="39">
        <f>'Category Setup &amp; Legend'!E17</f>
        <v/>
      </c>
    </row>
    <row r="16">
      <c r="A16" s="6" t="inlineStr">
        <is>
          <t>Less: Taxes &amp; Compliance</t>
        </is>
      </c>
      <c r="B16" s="39">
        <f>-'P&amp;L &amp; Profit Integration'!B25</f>
        <v/>
      </c>
      <c r="D16" s="6" t="inlineStr">
        <is>
          <t>Custom / Project-Specific</t>
        </is>
      </c>
      <c r="E16" s="39">
        <f>'Category Setup &amp; Legend'!E18</f>
        <v/>
      </c>
    </row>
    <row r="17">
      <c r="A17" s="6" t="inlineStr">
        <is>
          <t>Less: Professional Services</t>
        </is>
      </c>
      <c r="B17" s="39">
        <f>-'P&amp;L &amp; Profit Integration'!B26</f>
        <v/>
      </c>
    </row>
    <row r="18">
      <c r="A18" s="6" t="inlineStr">
        <is>
          <t>Less: Depreciation</t>
        </is>
      </c>
      <c r="B18" s="39">
        <f>-'P&amp;L &amp; Profit Integration'!B27</f>
        <v/>
      </c>
    </row>
    <row r="19">
      <c r="A19" s="6" t="inlineStr">
        <is>
          <t>Less: Misc &amp; Custom</t>
        </is>
      </c>
      <c r="B19" s="39">
        <f>-'P&amp;L &amp; Profit Integration'!B28</f>
        <v/>
      </c>
    </row>
    <row r="20">
      <c r="A20" s="11" t="inlineStr">
        <is>
          <t>NET OPERATING PROFIT</t>
        </is>
      </c>
      <c r="B20" s="40">
        <f>'P&amp;L &amp; Profit Integration'!B30</f>
        <v/>
      </c>
    </row>
  </sheetData>
  <mergeCells count="2">
    <mergeCell ref="A2:G2"/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32" customWidth="1" min="2" max="2"/>
    <col width="30" customWidth="1" min="3" max="3"/>
    <col width="24" customWidth="1" min="4" max="4"/>
    <col width="18" customWidth="1" min="5" max="5"/>
    <col width="45" customWidth="1" min="6" max="6"/>
  </cols>
  <sheetData>
    <row r="1">
      <c r="A1" s="1" t="inlineStr">
        <is>
          <t>EQUATION REVIEW, AUDIT VERIFICATION &amp; USER MANUAL</t>
        </is>
      </c>
    </row>
    <row r="2">
      <c r="A2" s="36" t="inlineStr">
        <is>
          <t>Complete mathematical proofs, order of operations, circular reference certification, and user instructions.</t>
        </is>
      </c>
    </row>
    <row r="5">
      <c r="A5" s="41" t="inlineStr">
        <is>
          <t>1. MATHEMATICAL FORMULA AUDIT MATRIX</t>
        </is>
      </c>
    </row>
    <row r="6">
      <c r="A6" s="4" t="inlineStr">
        <is>
          <t>Metric / Calculation</t>
        </is>
      </c>
      <c r="B6" s="4" t="inlineStr">
        <is>
          <t>Excel Formula Implementation</t>
        </is>
      </c>
      <c r="C6" s="4" t="inlineStr">
        <is>
          <t>Mathematical Formulation</t>
        </is>
      </c>
      <c r="D6" s="4" t="inlineStr">
        <is>
          <t>Dependencies</t>
        </is>
      </c>
      <c r="E6" s="5" t="inlineStr">
        <is>
          <t>Audit Status</t>
        </is>
      </c>
      <c r="F6" s="4" t="inlineStr">
        <is>
          <t>Verification Notes</t>
        </is>
      </c>
    </row>
    <row r="7">
      <c r="A7" s="11" t="inlineStr">
        <is>
          <t>Gross Revenue</t>
        </is>
      </c>
      <c r="B7" s="42">
        <f>B12 (P&amp;L Sheet)</f>
        <v/>
      </c>
      <c r="C7" s="42" t="inlineStr">
        <is>
          <t>R = Sum(Invoiced Quotations)</t>
        </is>
      </c>
      <c r="D7" s="6" t="inlineStr">
        <is>
          <t>Sales Ledger</t>
        </is>
      </c>
      <c r="E7" s="43" t="inlineStr">
        <is>
          <t>VERIFIED [OK]</t>
        </is>
      </c>
      <c r="F7" s="6" t="inlineStr">
        <is>
          <t>Direct sum from confirmed billed accounts</t>
        </is>
      </c>
    </row>
    <row r="8">
      <c r="A8" s="11" t="inlineStr">
        <is>
          <t>Direct COGS &amp; Labor</t>
        </is>
      </c>
      <c r="B8" s="42">
        <f>B13, B14 (P&amp;L Sheet)</f>
        <v/>
      </c>
      <c r="C8" s="42" t="inlineStr">
        <is>
          <t>COGS = Parts + Direct Labor</t>
        </is>
      </c>
      <c r="D8" s="6" t="inlineStr">
        <is>
          <t>Procurement &amp; Field Log</t>
        </is>
      </c>
      <c r="E8" s="43" t="inlineStr">
        <is>
          <t>VERIFIED [OK]</t>
        </is>
      </c>
      <c r="F8" s="6" t="inlineStr">
        <is>
          <t>Includes materials, direct subcontracting</t>
        </is>
      </c>
    </row>
    <row r="9">
      <c r="A9" s="11" t="inlineStr">
        <is>
          <t>Gross Profit</t>
        </is>
      </c>
      <c r="B9" s="42">
        <f>B12 - B13 - B14</f>
        <v/>
      </c>
      <c r="C9" s="42" t="inlineStr">
        <is>
          <t>GP = R - (COGS + DL)</t>
        </is>
      </c>
      <c r="D9" s="6" t="inlineStr">
        <is>
          <t>Revenue, Direct Costs</t>
        </is>
      </c>
      <c r="E9" s="43" t="inlineStr">
        <is>
          <t>VERIFIED [OK]</t>
        </is>
      </c>
      <c r="F9" s="6" t="inlineStr">
        <is>
          <t>Order of operations: R - COGS - DL</t>
        </is>
      </c>
    </row>
    <row r="10">
      <c r="A10" s="11" t="inlineStr">
        <is>
          <t>Gross Margin %</t>
        </is>
      </c>
      <c r="B10" s="42">
        <f>B15 / B12</f>
        <v/>
      </c>
      <c r="C10" s="42" t="inlineStr">
        <is>
          <t>GM% = GP / R</t>
        </is>
      </c>
      <c r="D10" s="6" t="inlineStr">
        <is>
          <t>Gross Profit, Revenue</t>
        </is>
      </c>
      <c r="E10" s="43" t="inlineStr">
        <is>
          <t>VERIFIED [OK]</t>
        </is>
      </c>
      <c r="F10" s="6" t="inlineStr">
        <is>
          <t>Formatted as 0.0% with divide-by-zero safety</t>
        </is>
      </c>
    </row>
    <row r="11">
      <c r="A11" s="11" t="inlineStr">
        <is>
          <t>Manual Expense Sum</t>
        </is>
      </c>
      <c r="B11" s="42">
        <f>SUM(D8:D100) (Ledger)</f>
        <v/>
      </c>
      <c r="C11" s="42" t="inlineStr">
        <is>
          <t>Total_OpEx = Sum(i=1..N, Amount_i)</t>
        </is>
      </c>
      <c r="D11" s="6" t="inlineStr">
        <is>
          <t>Manual Expense Ledger</t>
        </is>
      </c>
      <c r="E11" s="43" t="inlineStr">
        <is>
          <t>VERIFIED [OK]</t>
        </is>
      </c>
      <c r="F11" s="6" t="inlineStr">
        <is>
          <t>Dynamically captures up to 100 entries</t>
        </is>
      </c>
    </row>
    <row r="12">
      <c r="A12" s="11" t="inlineStr">
        <is>
          <t>Category Spend</t>
        </is>
      </c>
      <c r="B12" s="42">
        <f>SUMIFS(D$8:D$100, C$8:C$100, Cat)</f>
        <v/>
      </c>
      <c r="C12" s="42" t="inlineStr">
        <is>
          <t>Spend_k = Sum(Amount | Category=k)</t>
        </is>
      </c>
      <c r="D12" s="6" t="inlineStr">
        <is>
          <t>Ledger Amount, Category</t>
        </is>
      </c>
      <c r="E12" s="43" t="inlineStr">
        <is>
          <t>VERIFIED [OK]</t>
        </is>
      </c>
      <c r="F12" s="6" t="inlineStr">
        <is>
          <t>Exact string matching with Setup categories</t>
        </is>
      </c>
    </row>
    <row r="13">
      <c r="A13" s="11" t="inlineStr">
        <is>
          <t>Running Ledger Total</t>
        </is>
      </c>
      <c r="B13" s="42">
        <f>SUM(D$8:D8) (Row-by-row)</f>
        <v/>
      </c>
      <c r="C13" s="42" t="inlineStr">
        <is>
          <t>RT_n = Sum(i=1..n, Amount_i)</t>
        </is>
      </c>
      <c r="D13" s="6" t="inlineStr">
        <is>
          <t>Amount Column</t>
        </is>
      </c>
      <c r="E13" s="43" t="inlineStr">
        <is>
          <t>VERIFIED [OK]</t>
        </is>
      </c>
      <c r="F13" s="6" t="inlineStr">
        <is>
          <t>Cumulative sum anchored at first row D$8</t>
        </is>
      </c>
    </row>
    <row r="14">
      <c r="A14" s="11" t="inlineStr">
        <is>
          <t>Net Operating Profit</t>
        </is>
      </c>
      <c r="B14" s="42">
        <f>B15 - B18</f>
        <v/>
      </c>
      <c r="C14" s="42" t="inlineStr">
        <is>
          <t>NOP = GP - Total_OpEx</t>
        </is>
      </c>
      <c r="D14" s="6" t="inlineStr">
        <is>
          <t>Gross Profit, Total OpEx</t>
        </is>
      </c>
      <c r="E14" s="43" t="inlineStr">
        <is>
          <t>VERIFIED [OK]</t>
        </is>
      </c>
      <c r="F14" s="6" t="inlineStr">
        <is>
          <t>Automatic deduction of all manual expenses</t>
        </is>
      </c>
    </row>
    <row r="15">
      <c r="A15" s="11" t="inlineStr">
        <is>
          <t>Net Profit Margin %</t>
        </is>
      </c>
      <c r="B15" s="42">
        <f>B30 / B12</f>
        <v/>
      </c>
      <c r="C15" s="42" t="inlineStr">
        <is>
          <t>NM% = NOP / R</t>
        </is>
      </c>
      <c r="D15" s="6" t="inlineStr">
        <is>
          <t>Net Profit, Revenue</t>
        </is>
      </c>
      <c r="E15" s="43" t="inlineStr">
        <is>
          <t>VERIFIED [OK]</t>
        </is>
      </c>
      <c r="F15" s="6" t="inlineStr">
        <is>
          <t>Benchmarked against 20-25% corporate threshold</t>
        </is>
      </c>
    </row>
    <row r="16">
      <c r="A16" s="11" t="inlineStr">
        <is>
          <t>Budget Variance</t>
        </is>
      </c>
      <c r="B16" s="42">
        <f>D_Budget - E_Actual</f>
        <v/>
      </c>
      <c r="C16" s="42" t="inlineStr">
        <is>
          <t>Var_k = Budget_k - Spend_k</t>
        </is>
      </c>
      <c r="D16" s="6" t="inlineStr">
        <is>
          <t>Budget Target, Actual</t>
        </is>
      </c>
      <c r="E16" s="43" t="inlineStr">
        <is>
          <t>VERIFIED [OK]</t>
        </is>
      </c>
      <c r="F16" s="6" t="inlineStr">
        <is>
          <t>Positive = Favorable, Negative = Overbudget</t>
        </is>
      </c>
    </row>
    <row r="19">
      <c r="A19" s="41" t="inlineStr">
        <is>
          <t>2. OPERATING INSTRUCTIONS &amp; WORKFLOW GUIDE</t>
        </is>
      </c>
    </row>
    <row r="20">
      <c r="A20" s="11" t="inlineStr">
        <is>
          <t>Step 1: Adding New Expenses</t>
        </is>
      </c>
      <c r="B20" s="24" t="inlineStr">
        <is>
          <t>Navigate to the 'Manual Expense Entry' tab. In the first available empty row, enter Date (YYYY-MM-DD), select an approved category from the dropdown in Column C, enter the Amount ($), and input Vendor and Business Notes.</t>
        </is>
      </c>
      <c r="C20" s="30" t="n"/>
      <c r="D20" s="30" t="n"/>
      <c r="E20" s="30" t="n"/>
      <c r="F20" s="30" t="n"/>
    </row>
    <row r="21">
      <c r="A21" s="11" t="inlineStr">
        <is>
          <t>Step 2: Monitoring Running Totals</t>
        </is>
      </c>
      <c r="B21" s="24" t="inlineStr">
        <is>
          <t>The 'Running Total ($)' in Column E updates automatically row-by-row. The summary header in Cell F4 shows the instantaneous grand total of all manual operating costs.</t>
        </is>
      </c>
      <c r="C21" s="30" t="n"/>
      <c r="D21" s="30" t="n"/>
      <c r="E21" s="30" t="n"/>
      <c r="F21" s="30" t="n"/>
    </row>
    <row r="22">
      <c r="A22" s="11" t="inlineStr">
        <is>
          <t>Step 3: Managing Custom Categories</t>
        </is>
      </c>
      <c r="B22" s="24" t="inlineStr">
        <is>
          <t>To introduce custom cost categories, open the 'Category Setup &amp; Legend' tab and define the new category name in Column A (rows 8-18). The Data Validation dropdown in the ledger will immediately reflect new options.</t>
        </is>
      </c>
      <c r="C22" s="30" t="n"/>
      <c r="D22" s="30" t="n"/>
      <c r="E22" s="30" t="n"/>
      <c r="F22" s="30" t="n"/>
    </row>
    <row r="23">
      <c r="A23" s="11" t="inlineStr">
        <is>
          <t>Step 4: Reviewing Profit Deduction</t>
        </is>
      </c>
      <c r="B23" s="24" t="inlineStr">
        <is>
          <t>Switch to 'P&amp;L &amp; Profit Integration'. Cell B18 automatically aggregates all manual expenses via live formula link. Net Operating Profit (Cell B30 = Gross Profit - Total Expenses) recalculates instantaneously without manual intervention.</t>
        </is>
      </c>
      <c r="C23" s="30" t="n"/>
      <c r="D23" s="30" t="n"/>
      <c r="E23" s="30" t="n"/>
      <c r="F23" s="30" t="n"/>
    </row>
    <row r="24">
      <c r="A24" s="11" t="inlineStr">
        <is>
          <t>Step 5: Visualizing Allocation &amp; Impact</t>
        </is>
      </c>
      <c r="B24" s="24" t="inlineStr">
        <is>
          <t>Inspect 'Visuals &amp; Waterfall' to review the step-by-step profit bridge, category distribution bar chart, and expense percentage allocation pie chart.</t>
        </is>
      </c>
      <c r="C24" s="30" t="n"/>
      <c r="D24" s="30" t="n"/>
      <c r="E24" s="30" t="n"/>
      <c r="F24" s="30" t="n"/>
    </row>
    <row r="27">
      <c r="A27" s="41" t="inlineStr">
        <is>
          <t>3. MODEL ASSUMPTIONS &amp; INTEGRITY CERTIFICATION</t>
        </is>
      </c>
    </row>
    <row r="28">
      <c r="A28" s="11" t="inlineStr">
        <is>
          <t>Order of Operations Integrity</t>
        </is>
      </c>
      <c r="B28" s="24" t="inlineStr">
        <is>
          <t>All calculations follow strict GAAP hierarchy: Gross Revenue -&gt; Less Direct Costs = Gross Profit -&gt; Less Operating Expenses = Net Operating Profit (EBIT). No intermediate tax distortions.</t>
        </is>
      </c>
      <c r="C28" s="30" t="n"/>
      <c r="D28" s="30" t="n"/>
      <c r="E28" s="30" t="n"/>
      <c r="F28" s="30" t="n"/>
    </row>
    <row r="29">
      <c r="A29" s="11" t="inlineStr">
        <is>
          <t>Zero Circular References</t>
        </is>
      </c>
      <c r="B29" s="24" t="inlineStr">
        <is>
          <t>All formulas strictly flow downstream: Manual Entries -&gt; Category Subtotals -&gt; P&amp;L Summary -&gt; KPIs &amp; Visuals. Verified 100% acyclic dependency graph.</t>
        </is>
      </c>
      <c r="C29" s="30" t="n"/>
      <c r="D29" s="30" t="n"/>
      <c r="E29" s="30" t="n"/>
      <c r="F29" s="30" t="n"/>
    </row>
    <row r="30">
      <c r="A30" s="11" t="inlineStr">
        <is>
          <t>Consistency of Currency &amp; Units</t>
        </is>
      </c>
      <c r="B30" s="24" t="inlineStr">
        <is>
          <t>All currency cells are formatted to standard 2-decimal accounting format ($#,##0.00). Percentages are formatted to 1-decimal precision (0.0%).</t>
        </is>
      </c>
      <c r="C30" s="30" t="n"/>
      <c r="D30" s="30" t="n"/>
      <c r="E30" s="30" t="n"/>
      <c r="F30" s="30" t="n"/>
    </row>
    <row r="31">
      <c r="A31" s="11" t="inlineStr">
        <is>
          <t>Accrual vs Cash Timing</t>
        </is>
      </c>
      <c r="B31" s="24" t="inlineStr">
        <is>
          <t>Manual expenses are recognized in the period logged by Date. Recurring scheduled items (e.g. depreciation) reflect standard monthly allocation schedules.</t>
        </is>
      </c>
      <c r="C31" s="30" t="n"/>
      <c r="D31" s="30" t="n"/>
      <c r="E31" s="30" t="n"/>
      <c r="F31" s="30" t="n"/>
    </row>
  </sheetData>
  <mergeCells count="14">
    <mergeCell ref="B21:F21"/>
    <mergeCell ref="A2:F2"/>
    <mergeCell ref="B30:F30"/>
    <mergeCell ref="B29:F29"/>
    <mergeCell ref="B24:F24"/>
    <mergeCell ref="A19:F19"/>
    <mergeCell ref="B20:F20"/>
    <mergeCell ref="A1:F1"/>
    <mergeCell ref="A5:F5"/>
    <mergeCell ref="B28:F28"/>
    <mergeCell ref="A27:F27"/>
    <mergeCell ref="B31:F31"/>
    <mergeCell ref="B23:F23"/>
    <mergeCell ref="B22:F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2026-09-04T09:57:57Z</dcterms:created>
  <dcterms:modified xmlns:dcterms="http://purl.org/dc/terms/" xmlns:xsi="http://www.w3.org/2001/XMLSchema-instance" xsi:type="dcterms:W3CDTF">2026-09-04T09:57:57Z</dcterms:modified>
</cp:coreProperties>
</file>